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Swan\Documents\Yamaha-Preamp-Work\Documents\"/>
    </mc:Choice>
  </mc:AlternateContent>
  <xr:revisionPtr revIDLastSave="0" documentId="13_ncr:1_{1F95B361-00FB-433E-86CD-7BB868689CC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y Notes and Calcs" sheetId="1" r:id="rId1"/>
  </sheets>
  <definedNames>
    <definedName name="PAD">'My Notes and Calcs'!$D$3</definedName>
    <definedName name="POT">'My Notes and Calcs'!$C$3</definedName>
    <definedName name="Voltage">'My Notes and Calcs'!$N$3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O26" i="1" a="1"/>
  <c r="O26" i="1" s="1"/>
  <c r="O25" i="1" a="1"/>
  <c r="O25" i="1" s="1"/>
  <c r="O24" i="1"/>
  <c r="O24" i="1" a="1"/>
  <c r="O23" i="1" a="1"/>
  <c r="O23" i="1" s="1"/>
  <c r="O22" i="1" a="1"/>
  <c r="O22" i="1" s="1"/>
  <c r="O21" i="1" a="1"/>
  <c r="O21" i="1" s="1"/>
  <c r="O20" i="1" a="1"/>
  <c r="O20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<sst xmlns="http://schemas.openxmlformats.org/spreadsheetml/2006/main" count="11" uniqueCount="10">
  <si>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Center to left</t>
  </si>
  <si>
    <t>Center to right</t>
  </si>
  <si>
    <t>Lin Pot</t>
  </si>
  <si>
    <t>Padding (L to C)</t>
  </si>
  <si>
    <t>%</t>
  </si>
  <si>
    <t>Outside (L to R)</t>
  </si>
  <si>
    <t>Vout1</t>
  </si>
  <si>
    <t>Vout2</t>
  </si>
  <si>
    <t>Voltage</t>
  </si>
  <si>
    <t>Standard Audio (Log) Taper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</si>
</sst>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right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'My Notes and Calcs'!$D$5</c:f>
              <c:strCache>
                <c:ptCount val="1"/>
                <c:pt idx="0">
                  <c:v>Center to left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'My Notes and Calcs'!$B$6:$B$26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'My Notes and Calcs'!$D$6:$D$26</c:f>
              <c:numCache>
                <c:formatCode>0.00</c:formatCode>
                <c:ptCount val="21"/>
                <c:pt idx="0">
                  <c:v>9.5238095238095237</c:v>
                </c:pt>
                <c:pt idx="1">
                  <c:v>40</c:v>
                </c:pt>
                <c:pt idx="2">
                  <c:v>66.666666666666671</c:v>
                </c:pt>
                <c:pt idx="3">
                  <c:v>85.714285714285708</c:v>
                </c:pt>
                <c:pt idx="4">
                  <c:v>100</c:v>
                </c:pt>
                <c:pt idx="5">
                  <c:v>111.1111111111111</c:v>
                </c:pt>
                <c:pt idx="6">
                  <c:v>120</c:v>
                </c:pt>
                <c:pt idx="7">
                  <c:v>127.27272727272727</c:v>
                </c:pt>
                <c:pt idx="8">
                  <c:v>133.33333333333334</c:v>
                </c:pt>
                <c:pt idx="9">
                  <c:v>138.46153846153848</c:v>
                </c:pt>
                <c:pt idx="10">
                  <c:v>142.85714285714286</c:v>
                </c:pt>
                <c:pt idx="11">
                  <c:v>146.66666666666666</c:v>
                </c:pt>
                <c:pt idx="12">
                  <c:v>150</c:v>
                </c:pt>
                <c:pt idx="13">
                  <c:v>152.94117647058823</c:v>
                </c:pt>
                <c:pt idx="14">
                  <c:v>155.55555555555557</c:v>
                </c:pt>
                <c:pt idx="15">
                  <c:v>157.89473684210526</c:v>
                </c:pt>
                <c:pt idx="16">
                  <c:v>160</c:v>
                </c:pt>
                <c:pt idx="17">
                  <c:v>161.90476190476193</c:v>
                </c:pt>
                <c:pt idx="18">
                  <c:v>163.63636363636363</c:v>
                </c:pt>
                <c:pt idx="19">
                  <c:v>165.21739130434781</c:v>
                </c:pt>
                <c:pt idx="20">
                  <c:v>166.66666666666666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D-4298-812E-78D849600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900079"/>
        <c:axId val="14129015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'My Notes and Calcs'!$B$5</c15:sqref>
                        </c15:formulaRef>
                      </c:ext>
                    </c:extLst>
                    <c:strCache>
                      <c:ptCount val="1"/>
                      <c:pt idx="0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'My Notes and Calcs'!$B$6:$B$26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'My Notes and Calcs'!$B$6:$B$26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74D-4298-812E-78D84960052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Calcs'!$C$5</c15:sqref>
                        </c15:formulaRef>
                      </c:ext>
                    </c:extLst>
                    <c:strCache>
                      <c:ptCount val="1"/>
                      <c:pt idx="0">
                        <c:v>Outside (L to R)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Calcs'!$B$6:$B$26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Calcs'!$C$6:$C$26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999.52380952380952</c:v>
                      </c:pt>
                      <c:pt idx="1">
                        <c:v>990.00000000000011</c:v>
                      </c:pt>
                      <c:pt idx="2">
                        <c:v>966.66666666666663</c:v>
                      </c:pt>
                      <c:pt idx="3">
                        <c:v>935.71428571428567</c:v>
                      </c:pt>
                      <c:pt idx="4">
                        <c:v>900</c:v>
                      </c:pt>
                      <c:pt idx="5">
                        <c:v>861.11111111111109</c:v>
                      </c:pt>
                      <c:pt idx="6">
                        <c:v>820.00000000000011</c:v>
                      </c:pt>
                      <c:pt idx="7">
                        <c:v>777.27272727272725</c:v>
                      </c:pt>
                      <c:pt idx="8">
                        <c:v>733.33333333333337</c:v>
                      </c:pt>
                      <c:pt idx="9">
                        <c:v>688.46153846153845</c:v>
                      </c:pt>
                      <c:pt idx="10">
                        <c:v>642.85714285714289</c:v>
                      </c:pt>
                      <c:pt idx="11">
                        <c:v>596.66666666666663</c:v>
                      </c:pt>
                      <c:pt idx="12">
                        <c:v>550</c:v>
                      </c:pt>
                      <c:pt idx="13">
                        <c:v>502.94117647058829</c:v>
                      </c:pt>
                      <c:pt idx="14">
                        <c:v>455.55555555555554</c:v>
                      </c:pt>
                      <c:pt idx="15">
                        <c:v>407.89473684210526</c:v>
                      </c:pt>
                      <c:pt idx="16">
                        <c:v>360</c:v>
                      </c:pt>
                      <c:pt idx="17">
                        <c:v>311.90476190476193</c:v>
                      </c:pt>
                      <c:pt idx="18">
                        <c:v>263.63636363636363</c:v>
                      </c:pt>
                      <c:pt idx="19">
                        <c:v>215.21739130434781</c:v>
                      </c:pt>
                      <c:pt idx="20">
                        <c:v>166.66666666666666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74D-4298-812E-78D84960052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Calcs'!$E$5</c15:sqref>
                        </c15:formulaRef>
                      </c:ext>
                    </c:extLst>
                    <c:strCache>
                      <c:ptCount val="1"/>
                      <c:pt idx="0">
                        <c:v>Center to right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Calcs'!$B$6:$B$26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'My Notes and Calcs'!$E$6:$E$26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250</c:v>
                      </c:pt>
                      <c:pt idx="6">
                        <c:v>300</c:v>
                      </c:pt>
                      <c:pt idx="7">
                        <c:v>350.00000000000006</c:v>
                      </c:pt>
                      <c:pt idx="8">
                        <c:v>400</c:v>
                      </c:pt>
                      <c:pt idx="9">
                        <c:v>450</c:v>
                      </c:pt>
                      <c:pt idx="10">
                        <c:v>500</c:v>
                      </c:pt>
                      <c:pt idx="11">
                        <c:v>550</c:v>
                      </c:pt>
                      <c:pt idx="12">
                        <c:v>600</c:v>
                      </c:pt>
                      <c:pt idx="13">
                        <c:v>650</c:v>
                      </c:pt>
                      <c:pt idx="14">
                        <c:v>700.00000000000011</c:v>
                      </c:pt>
                      <c:pt idx="15">
                        <c:v>750</c:v>
                      </c:pt>
                      <c:pt idx="16">
                        <c:v>800</c:v>
                      </c:pt>
                      <c:pt idx="17">
                        <c:v>850</c:v>
                      </c:pt>
                      <c:pt idx="18">
                        <c:v>900</c:v>
                      </c:pt>
                      <c:pt idx="19">
                        <c:v>950.00000000000011</c:v>
                      </c:pt>
                      <c:pt idx="20">
                        <c:v>1000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4D-4298-812E-78D84960052C}"/>
                  </c:ext>
                </c:extLst>
              </c15:ser>
            </c15:filteredLineSeries>
          </c:ext>
        </c:extLst>
      </c:lineChart>
      <c:catAx>
        <c:axId val="141290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901519"/>
        <c:crosses val="autoZero"/>
        <c:auto val="1"/>
        <c:lblAlgn val="ctr"/>
        <c:lblOffset val="100"/>
        <c:noMultiLvlLbl val="0"/>
      </c:catAx>
      <c:valAx>
        <c:axId val="14129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90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'My Notes and Calcs'!$N$5</c:f>
              <c:strCache>
                <c:ptCount val="1"/>
                <c:pt idx="0">
                  <c:v>Vout1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'My Notes and Calcs'!$M$6:$M$26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'My Notes and Calcs'!$N$6:$N$26</c:f>
              <c:numCache>
                <c:formatCode>0.00</c:formatCode>
                <c:ptCount val="21"/>
                <c:pt idx="0">
                  <c:v>11.885659838018103</c:v>
                </c:pt>
                <c:pt idx="1">
                  <c:v>11.515151515151516</c:v>
                </c:pt>
                <c:pt idx="2">
                  <c:v>11.17241379310345</c:v>
                </c:pt>
                <c:pt idx="3">
                  <c:v>10.900763358778628</c:v>
                </c:pt>
                <c:pt idx="4">
                  <c:v>10.666666666666668</c:v>
                </c:pt>
                <c:pt idx="5">
                  <c:v>10.451612903225808</c:v>
                </c:pt>
                <c:pt idx="6">
                  <c:v>10.24390243902439</c:v>
                </c:pt>
                <c:pt idx="7">
                  <c:v>10.035087719298247</c:v>
                </c:pt>
                <c:pt idx="8">
                  <c:v>9.8181818181818166</c:v>
                </c:pt>
                <c:pt idx="9">
                  <c:v>9.5865921787709514</c:v>
                </c:pt>
                <c:pt idx="10">
                  <c:v>9.3333333333333321</c:v>
                </c:pt>
                <c:pt idx="11">
                  <c:v>9.050279329608939</c:v>
                </c:pt>
                <c:pt idx="12">
                  <c:v>8.7272727272727284</c:v>
                </c:pt>
                <c:pt idx="13">
                  <c:v>8.3508771929824572</c:v>
                </c:pt>
                <c:pt idx="14">
                  <c:v>7.9024390243902438</c:v>
                </c:pt>
                <c:pt idx="15">
                  <c:v>7.354838709677419</c:v>
                </c:pt>
                <c:pt idx="16">
                  <c:v>6.666666666666667</c:v>
                </c:pt>
                <c:pt idx="17">
                  <c:v>5.7709923664122131</c:v>
                </c:pt>
                <c:pt idx="18">
                  <c:v>4.5517241379310347</c:v>
                </c:pt>
                <c:pt idx="19">
                  <c:v>2.7878787878787881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B-4BC0-B033-ED57A6931F7F}"/>
            </c:ext>
          </c:extLst>
        </c:ser>
        <c:ser>
          <c:idx val="2"/>
          <c:order val="2"/>
          <c:tx>
            <c:strRef>
              <c:f>'My Notes and Calcs'!$O$5</c:f>
              <c:strCache>
                <c:ptCount val="1"/>
                <c:pt idx="0">
                  <c:v>Vout2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'My Notes and Calcs'!$M$6:$M$26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'My Notes and Calcs'!$O$6:$O$26</c:f>
              <c:numCache>
                <c:formatCode>0.00</c:formatCode>
                <c:ptCount val="21"/>
                <c:pt idx="0">
                  <c:v>0.11434016198189613</c:v>
                </c:pt>
                <c:pt idx="1">
                  <c:v>0.48484848484848481</c:v>
                </c:pt>
                <c:pt idx="2">
                  <c:v>0.82758620689655182</c:v>
                </c:pt>
                <c:pt idx="3">
                  <c:v>1.0992366412213741</c:v>
                </c:pt>
                <c:pt idx="4">
                  <c:v>1.3333333333333335</c:v>
                </c:pt>
                <c:pt idx="5">
                  <c:v>1.5483870967741935</c:v>
                </c:pt>
                <c:pt idx="6">
                  <c:v>1.75609756097561</c:v>
                </c:pt>
                <c:pt idx="7">
                  <c:v>1.9649122807017543</c:v>
                </c:pt>
                <c:pt idx="8">
                  <c:v>2.1818181818181817</c:v>
                </c:pt>
                <c:pt idx="9">
                  <c:v>2.4134078212290508</c:v>
                </c:pt>
                <c:pt idx="10">
                  <c:v>2.6666666666666665</c:v>
                </c:pt>
                <c:pt idx="11">
                  <c:v>2.949720670391061</c:v>
                </c:pt>
                <c:pt idx="12">
                  <c:v>3.2727272727272729</c:v>
                </c:pt>
                <c:pt idx="13">
                  <c:v>3.6491228070175441</c:v>
                </c:pt>
                <c:pt idx="14">
                  <c:v>4.0975609756097562</c:v>
                </c:pt>
                <c:pt idx="15">
                  <c:v>4.645161290322581</c:v>
                </c:pt>
                <c:pt idx="16">
                  <c:v>5.333333333333333</c:v>
                </c:pt>
                <c:pt idx="17">
                  <c:v>6.229007633587786</c:v>
                </c:pt>
                <c:pt idx="18">
                  <c:v>7.4482758620689653</c:v>
                </c:pt>
                <c:pt idx="19">
                  <c:v>9.2121212121212128</c:v>
                </c:pt>
                <c:pt idx="20">
                  <c:v>12.000000000000002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B-4BC0-B033-ED57A6931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711231"/>
        <c:axId val="14987117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'My Notes and Calcs'!$M$5</c15:sqref>
                        </c15:formulaRef>
                      </c:ext>
                    </c:extLst>
                    <c:strCache>
                      <c:ptCount val="1"/>
                      <c:pt idx="0">
                        <c:v>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'My Notes and Calcs'!$M$6:$M$26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'My Notes and Calcs'!$M$6:$M$26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9CB-4BC0-B033-ED57A6931F7F}"/>
                  </c:ext>
                </c:extLst>
              </c15:ser>
            </c15:filteredLineSeries>
          </c:ext>
        </c:extLst>
      </c:lineChart>
      <c:catAx>
        <c:axId val="149871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11711"/>
        <c:crosses val="autoZero"/>
        <c:auto val="1"/>
        <c:lblAlgn val="ctr"/>
        <c:lblOffset val="100"/>
        <c:noMultiLvlLbl val="0"/>
      </c:catAx>
      <c:valAx>
        <c:axId val="1498711711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1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26</xdr:row>
      <xdr:rowOff>133351</xdr:rowOff>
    </xdr:from>
    <xdr:to>
      <xdr:col>8</xdr:col>
      <xdr:colOff>533400</xdr:colOff>
      <xdr:row>27</xdr:row>
      <xdr:rowOff>1942095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1E47D-F78F-FD1B-79EE-66614AFBF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7150" y="5086351"/>
          <a:ext cx="2047875" cy="1999244"/>
        </a:xfrm>
        <a:prstGeom prst="rect">
          <a:avLst/>
        </a:prstGeom>
      </xdr:spPr>
    </xdr:pic>
    <xdr:clientData/>
  </xdr:twoCellAnchor>
  <xdr:twoCellAnchor>
    <xdr:from>
      <xdr:col>5</xdr:col>
      <xdr:colOff>114299</xdr:colOff>
      <xdr:row>4</xdr:row>
      <xdr:rowOff>0</xdr:rowOff>
    </xdr:from>
    <xdr:to>
      <xdr:col>11</xdr:col>
      <xdr:colOff>2133600</xdr:colOff>
      <xdr:row>26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0BCA46-28C0-079F-A4A4-E03880B2E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133350</xdr:colOff>
      <xdr:row>26</xdr:row>
      <xdr:rowOff>171450</xdr:rowOff>
    </xdr:from>
    <xdr:to>
      <xdr:col>21</xdr:col>
      <xdr:colOff>47180</xdr:colOff>
      <xdr:row>27</xdr:row>
      <xdr:rowOff>1828800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3A1D92-F132-A832-E042-2B273068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58450" y="5124450"/>
          <a:ext cx="3571430" cy="1847850"/>
        </a:xfrm>
        <a:prstGeom prst="rect">
          <a:avLst/>
        </a:prstGeom>
      </xdr:spPr>
    </xdr:pic>
    <xdr:clientData/>
  </xdr:twoCellAnchor>
  <xdr:twoCellAnchor>
    <xdr:from>
      <xdr:col>15</xdr:col>
      <xdr:colOff>133351</xdr:colOff>
      <xdr:row>3</xdr:row>
      <xdr:rowOff>180975</xdr:rowOff>
    </xdr:from>
    <xdr:to>
      <xdr:col>24</xdr:col>
      <xdr:colOff>200025</xdr:colOff>
      <xdr:row>26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AF3DC0-5A3D-0DB1-8153-549E04684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219074</xdr:colOff>
      <xdr:row>26</xdr:row>
      <xdr:rowOff>36702</xdr:rowOff>
    </xdr:from>
    <xdr:to>
      <xdr:col>4</xdr:col>
      <xdr:colOff>609599</xdr:colOff>
      <xdr:row>29</xdr:row>
      <xdr:rowOff>128295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ADFC30-B455-C777-39CE-317132CB3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4" y="4989702"/>
          <a:ext cx="2943225" cy="2482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1"/>
  <sheetViews>
    <sheetView showGridLines="0" tabSelected="1" workbookViewId="0"/>
  </sheetViews>
  <sheetFormatPr defaultRowHeight="15" x14ac:dyDescent="0.25"/>
  <cols>
    <col min="1" max="1" width="3.28515625" customWidth="1"/>
    <col min="2" max="2" width="4.7109375" customWidth="1"/>
    <col min="3" max="5" width="15.140625" style="1" customWidth="1"/>
    <col min="6" max="6" width="9" customWidth="1"/>
    <col min="12" max="12" width="34.28515625" customWidth="1"/>
    <col min="13" max="13" width="4.85546875" customWidth="1"/>
    <col min="14" max="15" width="16.28515625" customWidth="1"/>
  </cols>
  <sheetData>
    <row r="2" spans="2:15" x14ac:dyDescent="0.25">
      <c r="C2" s="1" t="s">
        <v>2</v>
      </c>
      <c r="D2" s="1" t="s">
        <v>3</v>
      </c>
      <c r="N2" s="1" t="s">
        <v>8</v>
      </c>
    </row>
    <row r="3" spans="2:15" x14ac:dyDescent="0.25">
      <c r="C3" s="2">
        <v>1000</v>
      </c>
      <c r="D3" s="2">
        <v>200</v>
      </c>
      <c r="N3" s="2">
        <v>12</v>
      </c>
    </row>
    <row r="4" spans="2:15" x14ac:dyDescent="0.25">
      <c r="N4" s="1"/>
      <c r="O4" s="1"/>
    </row>
    <row r="5" spans="2:15" x14ac:dyDescent="0.25">
      <c r="B5" s="3" t="s">
        <v>4</v>
      </c>
      <c r="C5" s="4" t="s">
        <v>5</v>
      </c>
      <c r="D5" s="4" t="s">
        <v>0</v>
      </c>
      <c r="E5" s="4" t="s">
        <v>1</v>
      </c>
      <c r="M5" s="3" t="s">
        <v>4</v>
      </c>
      <c r="N5" s="4" t="s">
        <v>6</v>
      </c>
      <c r="O5" s="4" t="s">
        <v>7</v>
      </c>
    </row>
    <row r="6" spans="2:15" x14ac:dyDescent="0.25">
      <c r="B6" s="6">
        <v>1</v>
      </c>
      <c r="C6" s="5">
        <f t="shared" ref="C6:C26" si="0">1/((1/PAD)+(1/(POT*(B6*0.01))))+(POT*((100-B6)*0.01))</f>
        <v>999.52380952380952</v>
      </c>
      <c r="D6" s="5">
        <f t="shared" ref="D6:D26" si="1">1/((1/PAD)+(1/(POT*(B6*0.01))))</f>
        <v>9.5238095238095237</v>
      </c>
      <c r="E6" s="5">
        <f t="shared" ref="E6:E26" si="2">POT*(B6*0.01)</f>
        <v>10</v>
      </c>
      <c r="M6" s="6">
        <v>1</v>
      </c>
      <c r="N6" s="5">
        <f t="shared" ref="N6:N26" si="3">Voltage/(1/((1/PAD)+(1/(POT*(M6*0.01))))+(POT*(100-M6)*0.01))*((POT*(100-M6)*0.01))</f>
        <v>11.885659838018103</v>
      </c>
      <c r="O6" s="5" cm="1">
        <f t="array" ref="O6">Voltage/(1/((1/PAD)+(1/(POT*(M6*0.01))))+(POT*(100-M6)*0.01))*1/((1/PAD)+(1/(POT*(M6*0.01))))</f>
        <v>0.11434016198189613</v>
      </c>
    </row>
    <row r="7" spans="2:15" x14ac:dyDescent="0.25">
      <c r="B7" s="6">
        <v>5</v>
      </c>
      <c r="C7" s="5">
        <f t="shared" si="0"/>
        <v>990.00000000000011</v>
      </c>
      <c r="D7" s="5">
        <f t="shared" si="1"/>
        <v>40</v>
      </c>
      <c r="E7" s="5">
        <f t="shared" si="2"/>
        <v>50</v>
      </c>
      <c r="M7" s="6">
        <v>5</v>
      </c>
      <c r="N7" s="5">
        <f t="shared" si="3"/>
        <v>11.515151515151516</v>
      </c>
      <c r="O7" s="5" cm="1">
        <f t="array" ref="O7">Voltage/(1/((1/PAD)+(1/(POT*(M7*0.01))))+(POT*(100-M7)*0.01))*1/((1/PAD)+(1/(POT*(M7*0.01))))</f>
        <v>0.48484848484848481</v>
      </c>
    </row>
    <row r="8" spans="2:15" x14ac:dyDescent="0.25">
      <c r="B8" s="6">
        <v>10</v>
      </c>
      <c r="C8" s="5">
        <f t="shared" si="0"/>
        <v>966.66666666666663</v>
      </c>
      <c r="D8" s="5">
        <f t="shared" si="1"/>
        <v>66.666666666666671</v>
      </c>
      <c r="E8" s="5">
        <f t="shared" si="2"/>
        <v>100</v>
      </c>
      <c r="M8" s="6">
        <v>10</v>
      </c>
      <c r="N8" s="5">
        <f t="shared" si="3"/>
        <v>11.17241379310345</v>
      </c>
      <c r="O8" s="5" cm="1">
        <f t="array" ref="O8">Voltage/(1/((1/PAD)+(1/(POT*(M8*0.01))))+(POT*(100-M8)*0.01))*1/((1/PAD)+(1/(POT*(M8*0.01))))</f>
        <v>0.82758620689655182</v>
      </c>
    </row>
    <row r="9" spans="2:15" x14ac:dyDescent="0.25">
      <c r="B9" s="6">
        <v>15</v>
      </c>
      <c r="C9" s="5">
        <f t="shared" si="0"/>
        <v>935.71428571428567</v>
      </c>
      <c r="D9" s="5">
        <f t="shared" si="1"/>
        <v>85.714285714285708</v>
      </c>
      <c r="E9" s="5">
        <f t="shared" si="2"/>
        <v>150</v>
      </c>
      <c r="M9" s="6">
        <v>15</v>
      </c>
      <c r="N9" s="5">
        <f t="shared" si="3"/>
        <v>10.900763358778628</v>
      </c>
      <c r="O9" s="5" cm="1">
        <f t="array" ref="O9">Voltage/(1/((1/PAD)+(1/(POT*(M9*0.01))))+(POT*(100-M9)*0.01))*1/((1/PAD)+(1/(POT*(M9*0.01))))</f>
        <v>1.0992366412213741</v>
      </c>
    </row>
    <row r="10" spans="2:15" x14ac:dyDescent="0.25">
      <c r="B10" s="6">
        <v>20</v>
      </c>
      <c r="C10" s="5">
        <f t="shared" si="0"/>
        <v>900</v>
      </c>
      <c r="D10" s="5">
        <f t="shared" si="1"/>
        <v>100</v>
      </c>
      <c r="E10" s="5">
        <f t="shared" si="2"/>
        <v>200</v>
      </c>
      <c r="M10" s="6">
        <v>20</v>
      </c>
      <c r="N10" s="5">
        <f t="shared" si="3"/>
        <v>10.666666666666668</v>
      </c>
      <c r="O10" s="5" cm="1">
        <f t="array" ref="O10">Voltage/(1/((1/PAD)+(1/(POT*(M10*0.01))))+(POT*(100-M10)*0.01))*1/((1/PAD)+(1/(POT*(M10*0.01))))</f>
        <v>1.3333333333333335</v>
      </c>
    </row>
    <row r="11" spans="2:15" x14ac:dyDescent="0.25">
      <c r="B11" s="6">
        <v>25</v>
      </c>
      <c r="C11" s="5">
        <f t="shared" si="0"/>
        <v>861.11111111111109</v>
      </c>
      <c r="D11" s="5">
        <f t="shared" si="1"/>
        <v>111.1111111111111</v>
      </c>
      <c r="E11" s="5">
        <f t="shared" si="2"/>
        <v>250</v>
      </c>
      <c r="M11" s="6">
        <v>25</v>
      </c>
      <c r="N11" s="5">
        <f t="shared" si="3"/>
        <v>10.451612903225808</v>
      </c>
      <c r="O11" s="5" cm="1">
        <f t="array" ref="O11">Voltage/(1/((1/PAD)+(1/(POT*(M11*0.01))))+(POT*(100-M11)*0.01))*1/((1/PAD)+(1/(POT*(M11*0.01))))</f>
        <v>1.5483870967741935</v>
      </c>
    </row>
    <row r="12" spans="2:15" x14ac:dyDescent="0.25">
      <c r="B12" s="6">
        <v>30</v>
      </c>
      <c r="C12" s="5">
        <f t="shared" si="0"/>
        <v>820.00000000000011</v>
      </c>
      <c r="D12" s="5">
        <f t="shared" si="1"/>
        <v>120</v>
      </c>
      <c r="E12" s="5">
        <f t="shared" si="2"/>
        <v>300</v>
      </c>
      <c r="M12" s="6">
        <v>30</v>
      </c>
      <c r="N12" s="5">
        <f t="shared" si="3"/>
        <v>10.24390243902439</v>
      </c>
      <c r="O12" s="5" cm="1">
        <f t="array" ref="O12">Voltage/(1/((1/PAD)+(1/(POT*(M12*0.01))))+(POT*(100-M12)*0.01))*1/((1/PAD)+(1/(POT*(M12*0.01))))</f>
        <v>1.75609756097561</v>
      </c>
    </row>
    <row r="13" spans="2:15" x14ac:dyDescent="0.25">
      <c r="B13" s="6">
        <v>35</v>
      </c>
      <c r="C13" s="5">
        <f t="shared" si="0"/>
        <v>777.27272727272725</v>
      </c>
      <c r="D13" s="5">
        <f t="shared" si="1"/>
        <v>127.27272727272727</v>
      </c>
      <c r="E13" s="5">
        <f t="shared" si="2"/>
        <v>350.00000000000006</v>
      </c>
      <c r="M13" s="6">
        <v>35</v>
      </c>
      <c r="N13" s="5">
        <f t="shared" si="3"/>
        <v>10.035087719298247</v>
      </c>
      <c r="O13" s="5" cm="1">
        <f t="array" ref="O13">Voltage/(1/((1/PAD)+(1/(POT*(M13*0.01))))+(POT*(100-M13)*0.01))*1/((1/PAD)+(1/(POT*(M13*0.01))))</f>
        <v>1.9649122807017543</v>
      </c>
    </row>
    <row r="14" spans="2:15" x14ac:dyDescent="0.25">
      <c r="B14" s="6">
        <v>40</v>
      </c>
      <c r="C14" s="5">
        <f t="shared" si="0"/>
        <v>733.33333333333337</v>
      </c>
      <c r="D14" s="5">
        <f t="shared" si="1"/>
        <v>133.33333333333334</v>
      </c>
      <c r="E14" s="5">
        <f t="shared" si="2"/>
        <v>400</v>
      </c>
      <c r="M14" s="6">
        <v>40</v>
      </c>
      <c r="N14" s="5">
        <f t="shared" si="3"/>
        <v>9.8181818181818166</v>
      </c>
      <c r="O14" s="5" cm="1">
        <f t="array" ref="O14">Voltage/(1/((1/PAD)+(1/(POT*(M14*0.01))))+(POT*(100-M14)*0.01))*1/((1/PAD)+(1/(POT*(M14*0.01))))</f>
        <v>2.1818181818181817</v>
      </c>
    </row>
    <row r="15" spans="2:15" x14ac:dyDescent="0.25">
      <c r="B15" s="6">
        <v>45</v>
      </c>
      <c r="C15" s="5">
        <f t="shared" si="0"/>
        <v>688.46153846153845</v>
      </c>
      <c r="D15" s="5">
        <f t="shared" si="1"/>
        <v>138.46153846153848</v>
      </c>
      <c r="E15" s="5">
        <f t="shared" si="2"/>
        <v>450</v>
      </c>
      <c r="M15" s="6">
        <v>45</v>
      </c>
      <c r="N15" s="5">
        <f t="shared" si="3"/>
        <v>9.5865921787709514</v>
      </c>
      <c r="O15" s="5" cm="1">
        <f t="array" ref="O15">Voltage/(1/((1/PAD)+(1/(POT*(M15*0.01))))+(POT*(100-M15)*0.01))*1/((1/PAD)+(1/(POT*(M15*0.01))))</f>
        <v>2.4134078212290508</v>
      </c>
    </row>
    <row r="16" spans="2:15" x14ac:dyDescent="0.25">
      <c r="B16" s="6">
        <v>50</v>
      </c>
      <c r="C16" s="5">
        <f t="shared" si="0"/>
        <v>642.85714285714289</v>
      </c>
      <c r="D16" s="5">
        <f t="shared" si="1"/>
        <v>142.85714285714286</v>
      </c>
      <c r="E16" s="5">
        <f t="shared" si="2"/>
        <v>500</v>
      </c>
      <c r="M16" s="6">
        <v>50</v>
      </c>
      <c r="N16" s="5">
        <f t="shared" si="3"/>
        <v>9.3333333333333321</v>
      </c>
      <c r="O16" s="5" cm="1">
        <f t="array" ref="O16">Voltage/(1/((1/PAD)+(1/(POT*(M16*0.01))))+(POT*(100-M16)*0.01))*1/((1/PAD)+(1/(POT*(M16*0.01))))</f>
        <v>2.6666666666666665</v>
      </c>
    </row>
    <row r="17" spans="2:15" x14ac:dyDescent="0.25">
      <c r="B17" s="6">
        <v>55</v>
      </c>
      <c r="C17" s="5">
        <f t="shared" si="0"/>
        <v>596.66666666666663</v>
      </c>
      <c r="D17" s="5">
        <f t="shared" si="1"/>
        <v>146.66666666666666</v>
      </c>
      <c r="E17" s="5">
        <f t="shared" si="2"/>
        <v>550</v>
      </c>
      <c r="M17" s="6">
        <v>55</v>
      </c>
      <c r="N17" s="5">
        <f t="shared" si="3"/>
        <v>9.050279329608939</v>
      </c>
      <c r="O17" s="5" cm="1">
        <f t="array" ref="O17">Voltage/(1/((1/PAD)+(1/(POT*(M17*0.01))))+(POT*(100-M17)*0.01))*1/((1/PAD)+(1/(POT*(M17*0.01))))</f>
        <v>2.949720670391061</v>
      </c>
    </row>
    <row r="18" spans="2:15" x14ac:dyDescent="0.25">
      <c r="B18" s="6">
        <v>60</v>
      </c>
      <c r="C18" s="5">
        <f t="shared" si="0"/>
        <v>550</v>
      </c>
      <c r="D18" s="5">
        <f t="shared" si="1"/>
        <v>150</v>
      </c>
      <c r="E18" s="5">
        <f t="shared" si="2"/>
        <v>600</v>
      </c>
      <c r="M18" s="6">
        <v>60</v>
      </c>
      <c r="N18" s="5">
        <f t="shared" si="3"/>
        <v>8.7272727272727284</v>
      </c>
      <c r="O18" s="5" cm="1">
        <f t="array" ref="O18">Voltage/(1/((1/PAD)+(1/(POT*(M18*0.01))))+(POT*(100-M18)*0.01))*1/((1/PAD)+(1/(POT*(M18*0.01))))</f>
        <v>3.2727272727272729</v>
      </c>
    </row>
    <row r="19" spans="2:15" x14ac:dyDescent="0.25">
      <c r="B19" s="6">
        <v>65</v>
      </c>
      <c r="C19" s="5">
        <f t="shared" si="0"/>
        <v>502.94117647058829</v>
      </c>
      <c r="D19" s="5">
        <f t="shared" si="1"/>
        <v>152.94117647058823</v>
      </c>
      <c r="E19" s="5">
        <f t="shared" si="2"/>
        <v>650</v>
      </c>
      <c r="M19" s="6">
        <v>65</v>
      </c>
      <c r="N19" s="5">
        <f t="shared" si="3"/>
        <v>8.3508771929824572</v>
      </c>
      <c r="O19" s="5" cm="1">
        <f t="array" ref="O19">Voltage/(1/((1/PAD)+(1/(POT*(M19*0.01))))+(POT*(100-M19)*0.01))*1/((1/PAD)+(1/(POT*(M19*0.01))))</f>
        <v>3.6491228070175441</v>
      </c>
    </row>
    <row r="20" spans="2:15" x14ac:dyDescent="0.25">
      <c r="B20" s="6">
        <v>70</v>
      </c>
      <c r="C20" s="5">
        <f t="shared" si="0"/>
        <v>455.55555555555554</v>
      </c>
      <c r="D20" s="5">
        <f t="shared" si="1"/>
        <v>155.55555555555557</v>
      </c>
      <c r="E20" s="5">
        <f t="shared" si="2"/>
        <v>700.00000000000011</v>
      </c>
      <c r="M20" s="6">
        <v>70</v>
      </c>
      <c r="N20" s="5">
        <f t="shared" si="3"/>
        <v>7.9024390243902438</v>
      </c>
      <c r="O20" s="5" cm="1">
        <f t="array" ref="O20">Voltage/(1/((1/PAD)+(1/(POT*(M20*0.01))))+(POT*(100-M20)*0.01))*1/((1/PAD)+(1/(POT*(M20*0.01))))</f>
        <v>4.0975609756097562</v>
      </c>
    </row>
    <row r="21" spans="2:15" x14ac:dyDescent="0.25">
      <c r="B21" s="6">
        <v>75</v>
      </c>
      <c r="C21" s="5">
        <f t="shared" si="0"/>
        <v>407.89473684210526</v>
      </c>
      <c r="D21" s="5">
        <f t="shared" si="1"/>
        <v>157.89473684210526</v>
      </c>
      <c r="E21" s="5">
        <f t="shared" si="2"/>
        <v>750</v>
      </c>
      <c r="M21" s="6">
        <v>75</v>
      </c>
      <c r="N21" s="5">
        <f t="shared" si="3"/>
        <v>7.354838709677419</v>
      </c>
      <c r="O21" s="5" cm="1">
        <f t="array" ref="O21">Voltage/(1/((1/PAD)+(1/(POT*(M21*0.01))))+(POT*(100-M21)*0.01))*1/((1/PAD)+(1/(POT*(M21*0.01))))</f>
        <v>4.645161290322581</v>
      </c>
    </row>
    <row r="22" spans="2:15" x14ac:dyDescent="0.25">
      <c r="B22" s="6">
        <v>80</v>
      </c>
      <c r="C22" s="5">
        <f t="shared" si="0"/>
        <v>360</v>
      </c>
      <c r="D22" s="5">
        <f t="shared" si="1"/>
        <v>160</v>
      </c>
      <c r="E22" s="5">
        <f t="shared" si="2"/>
        <v>800</v>
      </c>
      <c r="M22" s="6">
        <v>80</v>
      </c>
      <c r="N22" s="5">
        <f t="shared" si="3"/>
        <v>6.666666666666667</v>
      </c>
      <c r="O22" s="5" cm="1">
        <f t="array" ref="O22">Voltage/(1/((1/PAD)+(1/(POT*(M22*0.01))))+(POT*(100-M22)*0.01))*1/((1/PAD)+(1/(POT*(M22*0.01))))</f>
        <v>5.333333333333333</v>
      </c>
    </row>
    <row r="23" spans="2:15" x14ac:dyDescent="0.25">
      <c r="B23" s="6">
        <v>85</v>
      </c>
      <c r="C23" s="5">
        <f t="shared" si="0"/>
        <v>311.90476190476193</v>
      </c>
      <c r="D23" s="5">
        <f t="shared" si="1"/>
        <v>161.90476190476193</v>
      </c>
      <c r="E23" s="5">
        <f t="shared" si="2"/>
        <v>850</v>
      </c>
      <c r="M23" s="6">
        <v>85</v>
      </c>
      <c r="N23" s="5">
        <f t="shared" si="3"/>
        <v>5.7709923664122131</v>
      </c>
      <c r="O23" s="5" cm="1">
        <f t="array" ref="O23">Voltage/(1/((1/PAD)+(1/(POT*(M23*0.01))))+(POT*(100-M23)*0.01))*1/((1/PAD)+(1/(POT*(M23*0.01))))</f>
        <v>6.229007633587786</v>
      </c>
    </row>
    <row r="24" spans="2:15" x14ac:dyDescent="0.25">
      <c r="B24" s="6">
        <v>90</v>
      </c>
      <c r="C24" s="5">
        <f t="shared" si="0"/>
        <v>263.63636363636363</v>
      </c>
      <c r="D24" s="5">
        <f t="shared" si="1"/>
        <v>163.63636363636363</v>
      </c>
      <c r="E24" s="5">
        <f t="shared" si="2"/>
        <v>900</v>
      </c>
      <c r="M24" s="6">
        <v>90</v>
      </c>
      <c r="N24" s="5">
        <f t="shared" si="3"/>
        <v>4.5517241379310347</v>
      </c>
      <c r="O24" s="5" cm="1">
        <f t="array" ref="O24">Voltage/(1/((1/PAD)+(1/(POT*(M24*0.01))))+(POT*(100-M24)*0.01))*1/((1/PAD)+(1/(POT*(M24*0.01))))</f>
        <v>7.4482758620689653</v>
      </c>
    </row>
    <row r="25" spans="2:15" x14ac:dyDescent="0.25">
      <c r="B25" s="6">
        <v>95</v>
      </c>
      <c r="C25" s="5">
        <f t="shared" si="0"/>
        <v>215.21739130434781</v>
      </c>
      <c r="D25" s="5">
        <f t="shared" si="1"/>
        <v>165.21739130434781</v>
      </c>
      <c r="E25" s="5">
        <f t="shared" si="2"/>
        <v>950.00000000000011</v>
      </c>
      <c r="M25" s="6">
        <v>95</v>
      </c>
      <c r="N25" s="5">
        <f t="shared" si="3"/>
        <v>2.7878787878787881</v>
      </c>
      <c r="O25" s="5" cm="1">
        <f t="array" ref="O25">Voltage/(1/((1/PAD)+(1/(POT*(M25*0.01))))+(POT*(100-M25)*0.01))*1/((1/PAD)+(1/(POT*(M25*0.01))))</f>
        <v>9.2121212121212128</v>
      </c>
    </row>
    <row r="26" spans="2:15" x14ac:dyDescent="0.25">
      <c r="B26" s="6">
        <v>100</v>
      </c>
      <c r="C26" s="5">
        <f t="shared" si="0"/>
        <v>166.66666666666666</v>
      </c>
      <c r="D26" s="5">
        <f t="shared" si="1"/>
        <v>166.66666666666666</v>
      </c>
      <c r="E26" s="5">
        <f t="shared" si="2"/>
        <v>1000</v>
      </c>
      <c r="M26" s="6">
        <v>100</v>
      </c>
      <c r="N26" s="5">
        <f t="shared" si="3"/>
        <v>0</v>
      </c>
      <c r="O26" s="5" cm="1">
        <f t="array" ref="O26">Voltage/(1/((1/PAD)+(1/(POT*(M26*0.01))))+(POT*(100-M26)*0.01))*1/((1/PAD)+(1/(POT*(M26*0.01))))</f>
        <v>12.000000000000002</v>
      </c>
    </row>
    <row r="28" spans="2:15" ht="158.25" customHeight="1" x14ac:dyDescent="0.25">
      <c r="E28" s="8" t="s">
        <v>9</v>
      </c>
    </row>
    <row r="31" spans="2:15" x14ac:dyDescent="0.25">
      <c r="E31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My Notes and Calcs</vt:lpstr>
      <vt:lpstr>PAD</vt:lpstr>
      <vt:lpstr>POT</vt:lpstr>
      <vt:lpstr>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JSwan</dc:creator>
  <cp:lastModifiedBy>Swan, Jeff</cp:lastModifiedBy>
  <dcterms:created xsi:type="dcterms:W3CDTF">2015-06-05T18:17:20Z</dcterms:created>
  <dcterms:modified xsi:type="dcterms:W3CDTF">2025-11-25T18:52:15Z</dcterms:modified>
</cp:coreProperties>
</file>